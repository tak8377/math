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扉質問" sheetId="1" state="visible" r:id="rId3"/>
    <sheet name="本編12問" sheetId="2" state="visible" r:id="rId4"/>
    <sheet name="追加質問" sheetId="3" state="visible" r:id="rId5"/>
    <sheet name="判定ロジック(補助列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<sst xmlns="http://schemas.openxmlformats.org/spreadsheetml/2006/main" count="181" uniqueCount="121">
  <si>
    <r>
      <rPr>
        <b val="true"/>
        <sz val="14"/>
        <rFont val="Noto Sans CJK SC"/>
        <family val="2"/>
      </rPr>
      <t xml:space="preserve">扉質問（理解確認</t>
    </r>
    <r>
      <rPr>
        <b val="true"/>
        <sz val="14"/>
        <rFont val="Arial"/>
        <family val="0"/>
        <charset val="1"/>
      </rPr>
      <t xml:space="preserve">2</t>
    </r>
    <r>
      <rPr>
        <b val="true"/>
        <sz val="14"/>
        <rFont val="Noto Sans CJK SC"/>
        <family val="2"/>
      </rPr>
      <t xml:space="preserve">問＋条件付き判別質問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問）</t>
    </r>
  </si>
  <si>
    <r>
      <rPr>
        <i val="true"/>
        <sz val="10"/>
        <color rgb="FF555555"/>
        <rFont val="Noto Sans CJK SC"/>
        <family val="2"/>
      </rPr>
      <t xml:space="preserve">扉</t>
    </r>
    <r>
      <rPr>
        <i val="true"/>
        <sz val="10"/>
        <color rgb="FF555555"/>
        <rFont val="Arial"/>
        <family val="0"/>
        <charset val="1"/>
      </rPr>
      <t xml:space="preserve">1</t>
    </r>
    <r>
      <rPr>
        <i val="true"/>
        <sz val="10"/>
        <color rgb="FF555555"/>
        <rFont val="Noto Sans CJK SC"/>
        <family val="2"/>
      </rPr>
      <t xml:space="preserve">・</t>
    </r>
    <r>
      <rPr>
        <i val="true"/>
        <sz val="10"/>
        <color rgb="FF555555"/>
        <rFont val="Arial"/>
        <family val="0"/>
        <charset val="1"/>
      </rPr>
      <t xml:space="preserve">2</t>
    </r>
    <r>
      <rPr>
        <i val="true"/>
        <sz val="10"/>
        <color rgb="FF555555"/>
        <rFont val="Noto Sans CJK SC"/>
        <family val="2"/>
      </rPr>
      <t xml:space="preserve">の両方で</t>
    </r>
    <r>
      <rPr>
        <i val="true"/>
        <sz val="10"/>
        <color rgb="FF555555"/>
        <rFont val="Arial"/>
        <family val="0"/>
        <charset val="1"/>
      </rPr>
      <t xml:space="preserve">A→</t>
    </r>
    <r>
      <rPr>
        <i val="true"/>
        <sz val="10"/>
        <color rgb="FF555555"/>
        <rFont val="Noto Sans CJK SC"/>
        <family val="2"/>
      </rPr>
      <t xml:space="preserve">本編へ。</t>
    </r>
    <r>
      <rPr>
        <i val="true"/>
        <sz val="10"/>
        <color rgb="FF555555"/>
        <rFont val="Arial"/>
        <family val="0"/>
        <charset val="1"/>
      </rPr>
      <t xml:space="preserve">1</t>
    </r>
    <r>
      <rPr>
        <i val="true"/>
        <sz val="10"/>
        <color rgb="FF555555"/>
        <rFont val="Noto Sans CJK SC"/>
        <family val="2"/>
      </rPr>
      <t xml:space="preserve">問だけ</t>
    </r>
    <r>
      <rPr>
        <i val="true"/>
        <sz val="10"/>
        <color rgb="FF555555"/>
        <rFont val="Arial"/>
        <family val="0"/>
        <charset val="1"/>
      </rPr>
      <t xml:space="preserve">B→</t>
    </r>
    <r>
      <rPr>
        <i val="true"/>
        <sz val="10"/>
        <color rgb="FF555555"/>
        <rFont val="Noto Sans CJK SC"/>
        <family val="2"/>
      </rPr>
      <t xml:space="preserve">本編へ。両方</t>
    </r>
    <r>
      <rPr>
        <i val="true"/>
        <sz val="10"/>
        <color rgb="FF555555"/>
        <rFont val="Arial"/>
        <family val="0"/>
        <charset val="1"/>
      </rPr>
      <t xml:space="preserve">B→</t>
    </r>
    <r>
      <rPr>
        <i val="true"/>
        <sz val="10"/>
        <color rgb="FF555555"/>
        <rFont val="Noto Sans CJK SC"/>
        <family val="2"/>
      </rPr>
      <t xml:space="preserve">判別質問へ。判別質問</t>
    </r>
    <r>
      <rPr>
        <i val="true"/>
        <sz val="10"/>
        <color rgb="FF555555"/>
        <rFont val="Arial"/>
        <family val="0"/>
        <charset val="1"/>
      </rPr>
      <t xml:space="preserve">A→</t>
    </r>
    <r>
      <rPr>
        <i val="true"/>
        <sz val="10"/>
        <color rgb="FF555555"/>
        <rFont val="Noto Sans CJK SC"/>
        <family val="2"/>
      </rPr>
      <t xml:space="preserve">知識積み上げタイプ確定。判別質問</t>
    </r>
    <r>
      <rPr>
        <i val="true"/>
        <sz val="10"/>
        <color rgb="FF555555"/>
        <rFont val="Arial"/>
        <family val="0"/>
        <charset val="1"/>
      </rPr>
      <t xml:space="preserve">B→</t>
    </r>
    <r>
      <rPr>
        <i val="true"/>
        <sz val="10"/>
        <color rgb="FF555555"/>
        <rFont val="Noto Sans CJK SC"/>
        <family val="2"/>
      </rPr>
      <t xml:space="preserve">本編へ。</t>
    </r>
  </si>
  <si>
    <t xml:space="preserve">No</t>
  </si>
  <si>
    <t xml:space="preserve">区分</t>
  </si>
  <si>
    <t xml:space="preserve">質問文</t>
  </si>
  <si>
    <r>
      <rPr>
        <b val="true"/>
        <sz val="11"/>
        <color rgb="FFFFFFFF"/>
        <rFont val="Noto Sans CJK SC"/>
        <family val="2"/>
      </rPr>
      <t xml:space="preserve">選択肢</t>
    </r>
    <r>
      <rPr>
        <b val="true"/>
        <sz val="11"/>
        <color rgb="FFFFFFFF"/>
        <rFont val="Arial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</si>
  <si>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選択肢</t>
    </r>
    <r>
      <rPr>
        <b val="true"/>
        <sz val="11"/>
        <color rgb="FFFFFFFF"/>
        <rFont val="Arial"/>
        <family val="0"/>
        <charset val="1"/>
      </rPr>
      <t xml:space="preserve">B</t>
    </r>
  </si>
  <si>
    <r>
      <rPr>
        <sz val="10"/>
        <rFont val="Noto Sans CJK SC"/>
        <family val="2"/>
      </rPr>
      <t xml:space="preserve">扉質問</t>
    </r>
    <r>
      <rPr>
        <sz val="10"/>
        <rFont val="Arial"/>
        <family val="0"/>
        <charset val="1"/>
      </rPr>
      <t xml:space="preserve">1</t>
    </r>
  </si>
  <si>
    <t xml:space="preserve">授業の説明を聞いたときの感覚は？</t>
  </si>
  <si>
    <t xml:space="preserve">だいたい「なるほど、こういうことか」とついていけた</t>
  </si>
  <si>
    <t xml:space="preserve">何をやっているのか、ピンとこないことが多かった</t>
  </si>
  <si>
    <r>
      <rPr>
        <sz val="10"/>
        <rFont val="Noto Sans CJK SC"/>
        <family val="2"/>
      </rPr>
      <t xml:space="preserve">扉質問</t>
    </r>
    <r>
      <rPr>
        <sz val="10"/>
        <rFont val="Arial"/>
        <family val="0"/>
        <charset val="1"/>
      </rPr>
      <t xml:space="preserve">2</t>
    </r>
  </si>
  <si>
    <t xml:space="preserve">テストや教科書に出てくる言葉や記号を見たときは？</t>
  </si>
  <si>
    <t xml:space="preserve">だいたい意味がわかった</t>
  </si>
  <si>
    <t xml:space="preserve">見たことはあるけど、意味がよくわからないものが多かった</t>
  </si>
  <si>
    <r>
      <rPr>
        <sz val="10"/>
        <rFont val="Noto Sans CJK SC"/>
        <family val="2"/>
      </rPr>
      <t xml:space="preserve">判別質問（扉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が両方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の人だけ）</t>
    </r>
  </si>
  <si>
    <t xml:space="preserve">授業に集中して臨めていたかを振り返ると？</t>
  </si>
  <si>
    <t xml:space="preserve">集中して聞いていた（それでもピンとこないことがあった）</t>
  </si>
  <si>
    <t xml:space="preserve">正直、聞いていない・上の空になっていることが多かった</t>
  </si>
  <si>
    <r>
      <rPr>
        <b val="true"/>
        <sz val="14"/>
        <rFont val="Noto Sans CJK SC"/>
        <family val="2"/>
      </rPr>
      <t xml:space="preserve">本編</t>
    </r>
    <r>
      <rPr>
        <b val="true"/>
        <sz val="14"/>
        <rFont val="Arial"/>
        <family val="0"/>
        <charset val="1"/>
      </rPr>
      <t xml:space="preserve">12</t>
    </r>
    <r>
      <rPr>
        <b val="true"/>
        <sz val="14"/>
        <rFont val="Noto Sans CJK SC"/>
        <family val="2"/>
      </rPr>
      <t xml:space="preserve">問（</t>
    </r>
    <r>
      <rPr>
        <b val="true"/>
        <sz val="14"/>
        <rFont val="Arial"/>
        <family val="0"/>
        <charset val="1"/>
      </rPr>
      <t xml:space="preserve">4</t>
    </r>
    <r>
      <rPr>
        <b val="true"/>
        <sz val="14"/>
        <rFont val="Noto Sans CJK SC"/>
        <family val="2"/>
      </rPr>
      <t xml:space="preserve">観点</t>
    </r>
    <r>
      <rPr>
        <b val="true"/>
        <sz val="14"/>
        <rFont val="Arial"/>
        <family val="0"/>
        <charset val="1"/>
      </rPr>
      <t xml:space="preserve">×3</t>
    </r>
    <r>
      <rPr>
        <b val="true"/>
        <sz val="14"/>
        <rFont val="Noto Sans CJK SC"/>
        <family val="2"/>
      </rPr>
      <t xml:space="preserve">問）</t>
    </r>
  </si>
  <si>
    <r>
      <rPr>
        <i val="true"/>
        <sz val="10"/>
        <color rgb="FF555555"/>
        <rFont val="Noto Sans CJK SC"/>
        <family val="2"/>
      </rPr>
      <t xml:space="preserve">注意書き：「どちらが正しいかではなく、</t>
    </r>
    <r>
      <rPr>
        <i val="true"/>
        <sz val="10"/>
        <color rgb="FF555555"/>
        <rFont val="Arial"/>
        <family val="0"/>
        <charset val="1"/>
      </rPr>
      <t xml:space="preserve">1</t>
    </r>
    <r>
      <rPr>
        <i val="true"/>
        <sz val="10"/>
        <color rgb="FF555555"/>
        <rFont val="Noto Sans CJK SC"/>
        <family val="2"/>
      </rPr>
      <t xml:space="preserve">学期の自分に近い方を選びましょう。迷ったら『多かった方』『よくあった方』で</t>
    </r>
    <r>
      <rPr>
        <i val="true"/>
        <sz val="10"/>
        <color rgb="FF555555"/>
        <rFont val="Arial"/>
        <family val="0"/>
        <charset val="1"/>
      </rPr>
      <t xml:space="preserve">OK</t>
    </r>
    <r>
      <rPr>
        <i val="true"/>
        <sz val="10"/>
        <color rgb="FF555555"/>
        <rFont val="Noto Sans CJK SC"/>
        <family val="2"/>
      </rPr>
      <t xml:space="preserve">です。」</t>
    </r>
  </si>
  <si>
    <t xml:space="preserve">観点</t>
  </si>
  <si>
    <r>
      <rPr>
        <sz val="10"/>
        <rFont val="Noto Sans CJK SC"/>
        <family val="2"/>
      </rPr>
      <t xml:space="preserve">結果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スピード</t>
    </r>
    <r>
      <rPr>
        <sz val="10"/>
        <rFont val="Arial"/>
        <family val="0"/>
        <charset val="1"/>
      </rPr>
      <t xml:space="preserve">)</t>
    </r>
  </si>
  <si>
    <t xml:space="preserve">同じような問題を繰り返し解くと？</t>
  </si>
  <si>
    <t xml:space="preserve">だんだんスラスラ解けるようになる感覚があった</t>
  </si>
  <si>
    <t xml:space="preserve">繰り返しても、毎回同じくらい時間がかかる感じがした</t>
  </si>
  <si>
    <t xml:space="preserve">連立方程式のような、解き方が決まっている問題は？</t>
  </si>
  <si>
    <t xml:space="preserve">途中で考え込まずに手が動くことが多かった</t>
  </si>
  <si>
    <t xml:space="preserve">一つひとつの手順で立ち止まることが多かった</t>
  </si>
  <si>
    <t xml:space="preserve">連立方程式を解くスピードに満足していますか？</t>
  </si>
  <si>
    <t xml:space="preserve">満足している（このままでいい）</t>
  </si>
  <si>
    <t xml:space="preserve">もっと速く解けるようになりたい</t>
  </si>
  <si>
    <t xml:space="preserve">練習</t>
  </si>
  <si>
    <t xml:space="preserve">ワークの進め方は？</t>
  </si>
  <si>
    <t xml:space="preserve">範囲の中で少しずつ進められた</t>
  </si>
  <si>
    <t xml:space="preserve">提出前にまとめて進めることが多かった</t>
  </si>
  <si>
    <t xml:space="preserve">丸つけ後は？</t>
  </si>
  <si>
    <t xml:space="preserve">間違えた問題を解き直すことが多かった</t>
  </si>
  <si>
    <t xml:space="preserve">丸つけして終わり、になることが多かった</t>
  </si>
  <si>
    <t xml:space="preserve">ワークの目的意識は？</t>
  </si>
  <si>
    <t xml:space="preserve">「できるようになるため」にやっている感覚があった</t>
  </si>
  <si>
    <t xml:space="preserve">「終わらせること」が目的になりがちだった</t>
  </si>
  <si>
    <t xml:space="preserve">準備</t>
  </si>
  <si>
    <t xml:space="preserve">ワーク・ノートの状態は？</t>
  </si>
  <si>
    <t xml:space="preserve">必要なときにすぐ見返せる状態だった</t>
  </si>
  <si>
    <t xml:space="preserve">どこにあるか探すところから始まることがあった</t>
  </si>
  <si>
    <t xml:space="preserve">振り返りシート・提出物は？</t>
  </si>
  <si>
    <t xml:space="preserve">期限を意識して出せた</t>
  </si>
  <si>
    <t xml:space="preserve">ギリギリや遅れることがあった</t>
  </si>
  <si>
    <t xml:space="preserve">わからないところには？</t>
  </si>
  <si>
    <t xml:space="preserve">印やメモを残すようにしていた</t>
  </si>
  <si>
    <t xml:space="preserve">そのまま次に進むことが多かった</t>
  </si>
  <si>
    <t xml:space="preserve">再現</t>
  </si>
  <si>
    <t xml:space="preserve">解説を聞いた後は？</t>
  </si>
  <si>
    <t xml:space="preserve">もう一度自分だけで解こうとした</t>
  </si>
  <si>
    <t xml:space="preserve">「なるほど」で終わることが多かった</t>
  </si>
  <si>
    <t xml:space="preserve">似た問題が出たときは？</t>
  </si>
  <si>
    <t xml:space="preserve">解き方を思い出せることが多かった</t>
  </si>
  <si>
    <t xml:space="preserve">また一から考え直すことが多かった</t>
  </si>
  <si>
    <t xml:space="preserve">「わかった」と「解ける」は？</t>
  </si>
  <si>
    <t xml:space="preserve">違うと感じたことがある</t>
  </si>
  <si>
    <t xml:space="preserve">あまり区別していなかった</t>
  </si>
  <si>
    <r>
      <rPr>
        <b val="true"/>
        <sz val="14"/>
        <rFont val="Noto Sans CJK SC"/>
        <family val="2"/>
      </rPr>
      <t xml:space="preserve">追加質問（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Noto Sans CJK SC"/>
        <family val="2"/>
      </rPr>
      <t xml:space="preserve">問・注記専用、主タイプの判定には使わない）</t>
    </r>
  </si>
  <si>
    <r>
      <rPr>
        <i val="true"/>
        <sz val="10"/>
        <color rgb="FF555555"/>
        <rFont val="Noto Sans CJK SC"/>
        <family val="2"/>
      </rPr>
      <t xml:space="preserve">本編</t>
    </r>
    <r>
      <rPr>
        <i val="true"/>
        <sz val="10"/>
        <color rgb="FF555555"/>
        <rFont val="Arial"/>
        <family val="0"/>
        <charset val="1"/>
      </rPr>
      <t xml:space="preserve">12</t>
    </r>
    <r>
      <rPr>
        <i val="true"/>
        <sz val="10"/>
        <color rgb="FF555555"/>
        <rFont val="Noto Sans CJK SC"/>
        <family val="2"/>
      </rPr>
      <t xml:space="preserve">問の後に答える。知識積み上げタイプ（扉質問で確定）は対象外。</t>
    </r>
  </si>
  <si>
    <t xml:space="preserve">ワーク完了確認</t>
  </si>
  <si>
    <r>
      <rPr>
        <sz val="10"/>
        <rFont val="Noto Sans CJK SC"/>
        <family val="2"/>
      </rPr>
      <t xml:space="preserve">学校のワーク（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学期の範囲）は？</t>
    </r>
  </si>
  <si>
    <t xml:space="preserve">最後まで一通り解き終わっている</t>
  </si>
  <si>
    <r>
      <rPr>
        <sz val="10"/>
        <rFont val="Noto Sans CJK SC"/>
        <family val="2"/>
      </rPr>
      <t xml:space="preserve">まだ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周も終わっていない</t>
    </r>
  </si>
  <si>
    <t xml:space="preserve">文章題への苦手意識</t>
  </si>
  <si>
    <t xml:space="preserve">文章題（言葉で書かれた問題）を見たときの気持ちは？</t>
  </si>
  <si>
    <t xml:space="preserve">計算問題と同じくらい抵抗ない</t>
  </si>
  <si>
    <t xml:space="preserve">文章題だと思うと身構えてしまう</t>
  </si>
  <si>
    <t xml:space="preserve">振り返りシートでの言語化</t>
  </si>
  <si>
    <t xml:space="preserve">振り返りシートで、自分がどう工夫したかを書くときは？</t>
  </si>
  <si>
    <t xml:space="preserve">具体的に書けることが多い</t>
  </si>
  <si>
    <t xml:space="preserve">何を書けばいいかわからず、ふわっとした内容になりがち</t>
  </si>
  <si>
    <r>
      <rPr>
        <b val="true"/>
        <sz val="13"/>
        <rFont val="Noto Sans CJK SC"/>
        <family val="2"/>
      </rPr>
      <t xml:space="preserve">判定ロジック：補助列プロトタイプ（サンプル</t>
    </r>
    <r>
      <rPr>
        <b val="true"/>
        <sz val="13"/>
        <rFont val="Arial"/>
        <family val="0"/>
        <charset val="1"/>
      </rPr>
      <t xml:space="preserve">9</t>
    </r>
    <r>
      <rPr>
        <b val="true"/>
        <sz val="13"/>
        <rFont val="Noto Sans CJK SC"/>
        <family val="2"/>
      </rPr>
      <t xml:space="preserve">名分）</t>
    </r>
  </si>
  <si>
    <r>
      <rPr>
        <b val="true"/>
        <sz val="11"/>
        <color rgb="FFFFFFFF"/>
        <rFont val="Noto Sans CJK SC"/>
        <family val="2"/>
      </rPr>
      <t xml:space="preserve">生徒名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サンプル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</si>
  <si>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扉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</si>
  <si>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扉</t>
    </r>
    <r>
      <rPr>
        <b val="true"/>
        <sz val="11"/>
        <color rgb="FFFFFFFF"/>
        <rFont val="Arial"/>
        <family val="0"/>
        <charset val="1"/>
      </rPr>
      <t xml:space="preserve">2</t>
    </r>
  </si>
  <si>
    <t xml:space="preserve">判別質問</t>
  </si>
  <si>
    <r>
      <rPr>
        <b val="true"/>
        <sz val="11"/>
        <color rgb="FFFFFFFF"/>
        <rFont val="Noto Sans CJK SC"/>
        <family val="2"/>
      </rPr>
      <t xml:space="preserve">練習</t>
    </r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数</t>
    </r>
  </si>
  <si>
    <r>
      <rPr>
        <b val="true"/>
        <sz val="11"/>
        <color rgb="FFFFFFFF"/>
        <rFont val="Noto Sans CJK SC"/>
        <family val="2"/>
      </rPr>
      <t xml:space="preserve">準備</t>
    </r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数</t>
    </r>
  </si>
  <si>
    <r>
      <rPr>
        <b val="true"/>
        <sz val="11"/>
        <color rgb="FFFFFFFF"/>
        <rFont val="Noto Sans CJK SC"/>
        <family val="2"/>
      </rPr>
      <t xml:space="preserve">再現</t>
    </r>
    <r>
      <rPr>
        <b val="true"/>
        <sz val="11"/>
        <color rgb="FFFFFFFF"/>
        <rFont val="Arial"/>
        <family val="0"/>
        <charset val="1"/>
      </rPr>
      <t xml:space="preserve">A</t>
    </r>
    <r>
      <rPr>
        <b val="true"/>
        <sz val="11"/>
        <color rgb="FFFFFFFF"/>
        <rFont val="Noto Sans CJK SC"/>
        <family val="2"/>
      </rPr>
      <t xml:space="preserve">数</t>
    </r>
  </si>
  <si>
    <r>
      <rPr>
        <b val="true"/>
        <sz val="11"/>
        <color rgb="FFFFFFFF"/>
        <rFont val="Noto Sans CJK SC"/>
        <family val="2"/>
      </rPr>
      <t xml:space="preserve">結果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スピード</t>
    </r>
    <r>
      <rPr>
        <b val="true"/>
        <sz val="11"/>
        <color rgb="FFFFFFFF"/>
        <rFont val="Arial"/>
        <family val="0"/>
        <charset val="1"/>
      </rPr>
      <t xml:space="preserve">)A</t>
    </r>
    <r>
      <rPr>
        <b val="true"/>
        <sz val="11"/>
        <color rgb="FFFFFFFF"/>
        <rFont val="Noto Sans CJK SC"/>
        <family val="2"/>
      </rPr>
      <t xml:space="preserve">数</t>
    </r>
  </si>
  <si>
    <t xml:space="preserve">理解確認カウント</t>
  </si>
  <si>
    <t xml:space="preserve">知識積み上げ判定</t>
  </si>
  <si>
    <t xml:space="preserve">ブースト候補数</t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</si>
  <si>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観点安定</t>
    </r>
    <r>
      <rPr>
        <b val="true"/>
        <sz val="11"/>
        <color rgb="FFFFFFFF"/>
        <rFont val="Arial"/>
        <family val="0"/>
        <charset val="1"/>
      </rPr>
      <t xml:space="preserve">?</t>
    </r>
  </si>
  <si>
    <t xml:space="preserve">スピード条件</t>
  </si>
  <si>
    <t xml:space="preserve">仕切り直し条件</t>
  </si>
  <si>
    <t xml:space="preserve">盤石条件</t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</si>
  <si>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観点最小値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</si>
  <si>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観点タイブレーク主タイプ</t>
    </r>
  </si>
  <si>
    <r>
      <rPr>
        <b val="true"/>
        <sz val="11"/>
        <color rgb="FFFFFFFF"/>
        <rFont val="Noto Sans CJK SC"/>
        <family val="2"/>
      </rPr>
      <t xml:space="preserve">最終判定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主タイプ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</si>
  <si>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スピード注記</t>
  </si>
  <si>
    <t xml:space="preserve">理解ギャップ注記</t>
  </si>
  <si>
    <r>
      <rPr>
        <b val="true"/>
        <sz val="11"/>
        <color rgb="FFFFFFFF"/>
        <rFont val="Noto Sans CJK SC"/>
        <family val="2"/>
      </rPr>
      <t xml:space="preserve">追加質問</t>
    </r>
    <r>
      <rPr>
        <b val="true"/>
        <sz val="11"/>
        <color rgb="FFFFFFFF"/>
        <rFont val="Arial"/>
        <family val="0"/>
        <charset val="1"/>
      </rPr>
      <t xml:space="preserve">1(</t>
    </r>
    <r>
      <rPr>
        <b val="true"/>
        <sz val="11"/>
        <color rgb="FFFFFFFF"/>
        <rFont val="Noto Sans CJK SC"/>
        <family val="2"/>
      </rPr>
      <t xml:space="preserve">ワーク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</si>
  <si>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追加質問</t>
    </r>
    <r>
      <rPr>
        <b val="true"/>
        <sz val="11"/>
        <color rgb="FFFFFFFF"/>
        <rFont val="Arial"/>
        <family val="0"/>
        <charset val="1"/>
      </rPr>
      <t xml:space="preserve">2(</t>
    </r>
    <r>
      <rPr>
        <b val="true"/>
        <sz val="11"/>
        <color rgb="FFFFFFFF"/>
        <rFont val="Noto Sans CJK SC"/>
        <family val="2"/>
      </rPr>
      <t xml:space="preserve">文章題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</si>
  <si>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追加質問</t>
    </r>
    <r>
      <rPr>
        <b val="true"/>
        <sz val="11"/>
        <color rgb="FFFFFFFF"/>
        <rFont val="Arial"/>
        <family val="0"/>
        <charset val="1"/>
      </rPr>
      <t xml:space="preserve">3(</t>
    </r>
    <r>
      <rPr>
        <b val="true"/>
        <sz val="11"/>
        <color rgb="FFFFFFFF"/>
        <rFont val="Noto Sans CJK SC"/>
        <family val="2"/>
      </rPr>
      <t xml:space="preserve">言語化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</si>
  <si>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ワーク優先注記</t>
  </si>
  <si>
    <t xml:space="preserve">文章題注記</t>
  </si>
  <si>
    <t xml:space="preserve">言語化注記</t>
  </si>
  <si>
    <r>
      <rPr>
        <sz val="9"/>
        <rFont val="Noto Sans CJK SC"/>
        <family val="2"/>
      </rPr>
      <t xml:space="preserve">サンプル</t>
    </r>
    <r>
      <rPr>
        <sz val="9"/>
        <rFont val="Arial"/>
        <family val="0"/>
        <charset val="1"/>
      </rPr>
      <t xml:space="preserve">1(</t>
    </r>
    <r>
      <rPr>
        <sz val="9"/>
        <rFont val="Noto Sans CJK SC"/>
        <family val="2"/>
      </rPr>
      <t xml:space="preserve">盤石</t>
    </r>
    <r>
      <rPr>
        <sz val="9"/>
        <rFont val="Arial"/>
        <family val="0"/>
        <charset val="1"/>
      </rPr>
      <t xml:space="preserve">)</t>
    </r>
  </si>
  <si>
    <t xml:space="preserve">A</t>
  </si>
  <si>
    <r>
      <rPr>
        <sz val="9"/>
        <rFont val="Noto Sans CJK SC"/>
        <family val="2"/>
      </rPr>
      <t xml:space="preserve">サンプル</t>
    </r>
    <r>
      <rPr>
        <sz val="9"/>
        <rFont val="Arial"/>
        <family val="0"/>
        <charset val="1"/>
      </rPr>
      <t xml:space="preserve">2(</t>
    </r>
    <r>
      <rPr>
        <sz val="9"/>
        <rFont val="Noto Sans CJK SC"/>
        <family val="2"/>
      </rPr>
      <t xml:space="preserve">スピード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</si>
  <si>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サンプル</t>
    </r>
    <r>
      <rPr>
        <sz val="9"/>
        <rFont val="Arial"/>
        <family val="0"/>
        <charset val="1"/>
      </rPr>
      <t xml:space="preserve">3(</t>
    </r>
    <r>
      <rPr>
        <sz val="9"/>
        <rFont val="Noto Sans CJK SC"/>
        <family val="2"/>
      </rPr>
      <t xml:space="preserve">練習</t>
    </r>
    <r>
      <rPr>
        <sz val="9"/>
        <rFont val="Arial"/>
        <family val="0"/>
        <charset val="1"/>
      </rPr>
      <t xml:space="preserve">=</t>
    </r>
    <r>
      <rPr>
        <sz val="9"/>
        <rFont val="Noto Sans CJK SC"/>
        <family val="2"/>
      </rPr>
      <t xml:space="preserve">再現タイ→演習量</t>
    </r>
    <r>
      <rPr>
        <sz val="9"/>
        <rFont val="Arial"/>
        <family val="0"/>
        <charset val="1"/>
      </rPr>
      <t xml:space="preserve">)</t>
    </r>
  </si>
  <si>
    <t xml:space="preserve">B</t>
  </si>
  <si>
    <r>
      <rPr>
        <sz val="9"/>
        <rFont val="Noto Sans CJK SC"/>
        <family val="2"/>
      </rPr>
      <t xml:space="preserve">サンプル</t>
    </r>
    <r>
      <rPr>
        <sz val="9"/>
        <rFont val="Arial"/>
        <family val="0"/>
        <charset val="1"/>
      </rPr>
      <t xml:space="preserve">4(</t>
    </r>
    <r>
      <rPr>
        <sz val="9"/>
        <rFont val="Noto Sans CJK SC"/>
        <family val="2"/>
      </rPr>
      <t xml:space="preserve">仕切り直し・全注記抑制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</si>
  <si>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サンプル</t>
    </r>
    <r>
      <rPr>
        <sz val="9"/>
        <rFont val="Arial"/>
        <family val="0"/>
        <charset val="1"/>
      </rPr>
      <t xml:space="preserve">5(</t>
    </r>
    <r>
      <rPr>
        <sz val="9"/>
        <rFont val="Noto Sans CJK SC"/>
        <family val="2"/>
      </rPr>
      <t xml:space="preserve">知識積み上げ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</si>
  <si>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サンプル</t>
    </r>
    <r>
      <rPr>
        <sz val="9"/>
        <rFont val="Arial"/>
        <family val="0"/>
        <charset val="1"/>
      </rPr>
      <t xml:space="preserve">6(</t>
    </r>
    <r>
      <rPr>
        <sz val="9"/>
        <rFont val="Noto Sans CJK SC"/>
        <family val="2"/>
      </rPr>
      <t xml:space="preserve">置いてきぼり→演習量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文章題注記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</si>
  <si>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サンプル</t>
    </r>
    <r>
      <rPr>
        <sz val="9"/>
        <rFont val="Arial"/>
        <family val="0"/>
        <charset val="1"/>
      </rPr>
      <t xml:space="preserve">7(</t>
    </r>
    <r>
      <rPr>
        <sz val="9"/>
        <rFont val="Noto Sans CJK SC"/>
        <family val="2"/>
      </rPr>
      <t xml:space="preserve">整理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理解ギャップ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言語化注記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</si>
  <si>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サンプル</t>
    </r>
    <r>
      <rPr>
        <sz val="9"/>
        <rFont val="Arial"/>
        <family val="0"/>
        <charset val="1"/>
      </rPr>
      <t xml:space="preserve">8(</t>
    </r>
    <r>
      <rPr>
        <sz val="9"/>
        <rFont val="Noto Sans CJK SC"/>
        <family val="2"/>
      </rPr>
      <t xml:space="preserve">結果</t>
    </r>
    <r>
      <rPr>
        <sz val="9"/>
        <rFont val="Arial"/>
        <family val="0"/>
        <charset val="1"/>
      </rPr>
      <t xml:space="preserve">0</t>
    </r>
    <r>
      <rPr>
        <sz val="9"/>
        <rFont val="Noto Sans CJK SC"/>
        <family val="2"/>
      </rPr>
      <t xml:space="preserve">だが仕切り直し優先</t>
    </r>
    <r>
      <rPr>
        <sz val="9"/>
        <rFont val="Arial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</si>
  <si>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サンプル</t>
    </r>
    <r>
      <rPr>
        <sz val="9"/>
        <rFont val="Arial"/>
        <family val="0"/>
        <charset val="1"/>
      </rPr>
      <t xml:space="preserve">9(</t>
    </r>
    <r>
      <rPr>
        <sz val="9"/>
        <rFont val="Noto Sans CJK SC"/>
        <family val="2"/>
      </rPr>
      <t xml:space="preserve">再現最下位、注記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つ全部あり</t>
    </r>
    <r>
      <rPr>
        <sz val="9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</si>
  <si>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判定優先順位：知識積み上げ</t>
    </r>
    <r>
      <rPr>
        <i val="true"/>
        <sz val="10"/>
        <color rgb="FF555555"/>
        <rFont val="Arial"/>
        <family val="0"/>
        <charset val="1"/>
      </rPr>
      <t xml:space="preserve">(J) → </t>
    </r>
    <r>
      <rPr>
        <i val="true"/>
        <sz val="10"/>
        <color rgb="FF555555"/>
        <rFont val="Noto Sans CJK SC"/>
        <family val="2"/>
      </rPr>
      <t xml:space="preserve">仕切り直し</t>
    </r>
    <r>
      <rPr>
        <i val="true"/>
        <sz val="10"/>
        <color rgb="FF555555"/>
        <rFont val="Arial"/>
        <family val="0"/>
        <charset val="1"/>
      </rPr>
      <t xml:space="preserve">(N) → </t>
    </r>
    <r>
      <rPr>
        <i val="true"/>
        <sz val="10"/>
        <color rgb="FF555555"/>
        <rFont val="Noto Sans CJK SC"/>
        <family val="2"/>
      </rPr>
      <t xml:space="preserve">スピード</t>
    </r>
    <r>
      <rPr>
        <i val="true"/>
        <sz val="10"/>
        <color rgb="FF555555"/>
        <rFont val="Arial"/>
        <family val="0"/>
        <charset val="1"/>
      </rPr>
      <t xml:space="preserve">(M) → </t>
    </r>
    <r>
      <rPr>
        <i val="true"/>
        <sz val="10"/>
        <color rgb="FF555555"/>
        <rFont val="Noto Sans CJK SC"/>
        <family val="2"/>
      </rPr>
      <t xml:space="preserve">盤石</t>
    </r>
    <r>
      <rPr>
        <i val="true"/>
        <sz val="10"/>
        <color rgb="FF555555"/>
        <rFont val="Arial"/>
        <family val="0"/>
        <charset val="1"/>
      </rPr>
      <t xml:space="preserve">(O) → 3</t>
    </r>
    <r>
      <rPr>
        <i val="true"/>
        <sz val="10"/>
        <color rgb="FF555555"/>
        <rFont val="Noto Sans CJK SC"/>
        <family val="2"/>
      </rPr>
      <t xml:space="preserve">観点タイブレーク</t>
    </r>
    <r>
      <rPr>
        <i val="true"/>
        <sz val="10"/>
        <color rgb="FF555555"/>
        <rFont val="Arial"/>
        <family val="0"/>
        <charset val="1"/>
      </rPr>
      <t xml:space="preserve">(Q)</t>
    </r>
  </si>
  <si>
    <t xml:space="preserve">タイブレーク優先順位：練習＞再現＞準備（同点のときだけ適用）</t>
  </si>
  <si>
    <t xml:space="preserve">スピード注記・理解ギャップ注記は、仕切り直しタイプでは付けない。理解ギャップ注記は演習量タイプでも付けない（重複回避）。</t>
  </si>
  <si>
    <r>
      <rPr>
        <i val="true"/>
        <sz val="10"/>
        <color rgb="FF555555"/>
        <rFont val="Noto Sans CJK SC"/>
        <family val="2"/>
      </rPr>
      <t xml:space="preserve">サンプル</t>
    </r>
    <r>
      <rPr>
        <i val="true"/>
        <sz val="10"/>
        <color rgb="FF555555"/>
        <rFont val="Arial"/>
        <family val="0"/>
        <charset val="1"/>
      </rPr>
      <t xml:space="preserve">8</t>
    </r>
    <r>
      <rPr>
        <i val="true"/>
        <sz val="10"/>
        <color rgb="FF555555"/>
        <rFont val="Noto Sans CJK SC"/>
        <family val="2"/>
      </rPr>
      <t xml:space="preserve">：結果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スピード</t>
    </r>
    <r>
      <rPr>
        <i val="true"/>
        <sz val="10"/>
        <color rgb="FF555555"/>
        <rFont val="Arial"/>
        <family val="0"/>
        <charset val="1"/>
      </rPr>
      <t xml:space="preserve">)</t>
    </r>
    <r>
      <rPr>
        <i val="true"/>
        <sz val="10"/>
        <color rgb="FF555555"/>
        <rFont val="Noto Sans CJK SC"/>
        <family val="2"/>
      </rPr>
      <t xml:space="preserve">が</t>
    </r>
    <r>
      <rPr>
        <i val="true"/>
        <sz val="10"/>
        <color rgb="FF555555"/>
        <rFont val="Arial"/>
        <family val="0"/>
        <charset val="1"/>
      </rPr>
      <t xml:space="preserve">0</t>
    </r>
    <r>
      <rPr>
        <i val="true"/>
        <sz val="10"/>
        <color rgb="FF555555"/>
        <rFont val="Noto Sans CJK SC"/>
        <family val="2"/>
      </rPr>
      <t xml:space="preserve">でも、ブースト候補数が</t>
    </r>
    <r>
      <rPr>
        <i val="true"/>
        <sz val="10"/>
        <color rgb="FF555555"/>
        <rFont val="Arial"/>
        <family val="0"/>
        <charset val="1"/>
      </rPr>
      <t xml:space="preserve">3</t>
    </r>
    <r>
      <rPr>
        <i val="true"/>
        <sz val="10"/>
        <color rgb="FF555555"/>
        <rFont val="Noto Sans CJK SC"/>
        <family val="2"/>
      </rPr>
      <t xml:space="preserve">以上のため仕切り直しタイプが優先され、注記も付かない想定。</t>
    </r>
  </si>
  <si>
    <r>
      <rPr>
        <i val="true"/>
        <sz val="10"/>
        <color rgb="FF555555"/>
        <rFont val="Noto Sans CJK SC"/>
        <family val="2"/>
      </rPr>
      <t xml:space="preserve">サンプル</t>
    </r>
    <r>
      <rPr>
        <i val="true"/>
        <sz val="10"/>
        <color rgb="FF555555"/>
        <rFont val="Arial"/>
        <family val="0"/>
        <charset val="1"/>
      </rPr>
      <t xml:space="preserve">9</t>
    </r>
    <r>
      <rPr>
        <i val="true"/>
        <sz val="10"/>
        <color rgb="FF555555"/>
        <rFont val="Noto Sans CJK SC"/>
        <family val="2"/>
      </rPr>
      <t xml:space="preserve">：再現が最下位で主タイプは自力タイプになり、結果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スピード</t>
    </r>
    <r>
      <rPr>
        <i val="true"/>
        <sz val="10"/>
        <color rgb="FF555555"/>
        <rFont val="Arial"/>
        <family val="0"/>
        <charset val="1"/>
      </rPr>
      <t xml:space="preserve">)</t>
    </r>
    <r>
      <rPr>
        <i val="true"/>
        <sz val="10"/>
        <color rgb="FF555555"/>
        <rFont val="Noto Sans CJK SC"/>
        <family val="2"/>
      </rPr>
      <t xml:space="preserve">も</t>
    </r>
    <r>
      <rPr>
        <i val="true"/>
        <sz val="10"/>
        <color rgb="FF555555"/>
        <rFont val="Arial"/>
        <family val="0"/>
        <charset val="1"/>
      </rPr>
      <t xml:space="preserve">0</t>
    </r>
    <r>
      <rPr>
        <i val="true"/>
        <sz val="10"/>
        <color rgb="FF555555"/>
        <rFont val="Noto Sans CJK SC"/>
        <family val="2"/>
      </rPr>
      <t xml:space="preserve">のためスピード注記が付く想定。</t>
    </r>
  </si>
  <si>
    <t xml:space="preserve">ワーク優先注記・文章題注記・言語化注記も、仕切り直しタイプでは付けない。ワーク優先注記は演習量タイプでも付けない（固定文と重複するため）。</t>
  </si>
  <si>
    <r>
      <rPr>
        <i val="true"/>
        <sz val="10"/>
        <color rgb="FF555555"/>
        <rFont val="Noto Sans CJK SC"/>
        <family val="2"/>
      </rPr>
      <t xml:space="preserve">サンプル</t>
    </r>
    <r>
      <rPr>
        <i val="true"/>
        <sz val="10"/>
        <color rgb="FF555555"/>
        <rFont val="Arial"/>
        <family val="0"/>
        <charset val="1"/>
      </rPr>
      <t xml:space="preserve">6</t>
    </r>
    <r>
      <rPr>
        <i val="true"/>
        <sz val="10"/>
        <color rgb="FF555555"/>
        <rFont val="Noto Sans CJK SC"/>
        <family val="2"/>
      </rPr>
      <t xml:space="preserve">：主タイプが演習量タイプのため、追加質問</t>
    </r>
    <r>
      <rPr>
        <i val="true"/>
        <sz val="10"/>
        <color rgb="FF555555"/>
        <rFont val="Arial"/>
        <family val="0"/>
        <charset val="1"/>
      </rPr>
      <t xml:space="preserve">1</t>
    </r>
    <r>
      <rPr>
        <i val="true"/>
        <sz val="10"/>
        <color rgb="FF555555"/>
        <rFont val="Noto Sans CJK SC"/>
        <family val="2"/>
      </rPr>
      <t xml:space="preserve">が</t>
    </r>
    <r>
      <rPr>
        <i val="true"/>
        <sz val="10"/>
        <color rgb="FF555555"/>
        <rFont val="Arial"/>
        <family val="0"/>
        <charset val="1"/>
      </rPr>
      <t xml:space="preserve">B</t>
    </r>
    <r>
      <rPr>
        <i val="true"/>
        <sz val="10"/>
        <color rgb="FF555555"/>
        <rFont val="Noto Sans CJK SC"/>
        <family val="2"/>
      </rPr>
      <t xml:space="preserve">でもワーク優先注記は付かないが、文章題注記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追加質問</t>
    </r>
    <r>
      <rPr>
        <i val="true"/>
        <sz val="10"/>
        <color rgb="FF555555"/>
        <rFont val="Arial"/>
        <family val="0"/>
        <charset val="1"/>
      </rPr>
      <t xml:space="preserve">2)</t>
    </r>
    <r>
      <rPr>
        <i val="true"/>
        <sz val="10"/>
        <color rgb="FF555555"/>
        <rFont val="Noto Sans CJK SC"/>
        <family val="2"/>
      </rPr>
      <t xml:space="preserve">は別条件なので付く想定。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</si>
</sst>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10"/>
      <color rgb="FF555555"/>
      <name val="Noto Sans CJK SC"/>
      <family val="2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9"/>
      <name val="Noto Sans CJK SC"/>
      <family val="2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DCEEF7"/>
        <bgColor rgb="FFDCE6F1"/>
      </patternFill>
    </fill>
    <fill>
      <patternFill patternType="solid">
        <fgColor rgb="FFE2F0D9"/>
        <bgColor rgb="FFDCEEF7"/>
      </patternFill>
    </fill>
    <fill>
      <patternFill patternType="solid">
        <fgColor rgb="FFDCE6F1"/>
        <bgColor rgb="FFDCEEF7"/>
      </patternFill>
    </fill>
    <fill>
      <patternFill patternType="solid">
        <fgColor rgb="FFEAD9F0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EF7"/>
      <rgbColor rgb="FF660066"/>
      <rgbColor rgb="FFFF8080"/>
      <rgbColor rgb="FF0066CC"/>
      <rgbColor rgb="FFEA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5" min="4" style="0" width="34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7.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39.75" hidden="false" customHeight="true" outlineLevel="0" collapsed="false">
      <c r="A5" s="5" t="n">
        <v>1</v>
      </c>
      <c r="B5" s="6" t="s">
        <v>7</v>
      </c>
      <c r="C5" s="6" t="s">
        <v>8</v>
      </c>
      <c r="D5" s="6" t="s">
        <v>9</v>
      </c>
      <c r="E5" s="6" t="s">
        <v>10</v>
      </c>
    </row>
    <row r="6" customFormat="false" ht="39.75" hidden="false" customHeight="true" outlineLevel="0" collapsed="false">
      <c r="A6" s="5" t="n">
        <v>2</v>
      </c>
      <c r="B6" s="6" t="s">
        <v>11</v>
      </c>
      <c r="C6" s="6" t="s">
        <v>12</v>
      </c>
      <c r="D6" s="6" t="s">
        <v>13</v>
      </c>
      <c r="E6" s="6" t="s">
        <v>14</v>
      </c>
    </row>
    <row r="7" customFormat="false" ht="39.75" hidden="false" customHeight="true" outlineLevel="0" collapsed="false">
      <c r="A7" s="5" t="n">
        <v>3</v>
      </c>
      <c r="B7" s="6" t="s">
        <v>15</v>
      </c>
      <c r="C7" s="6" t="s">
        <v>16</v>
      </c>
      <c r="D7" s="6" t="s">
        <v>17</v>
      </c>
      <c r="E7" s="6" t="s">
        <v>18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5" min="3" style="0" width="34"/>
  </cols>
  <sheetData>
    <row r="1" customFormat="false" ht="21.6" hidden="false" customHeight="false" outlineLevel="0" collapsed="false">
      <c r="A1" s="1" t="s">
        <v>19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20</v>
      </c>
      <c r="B2" s="2"/>
      <c r="C2" s="2"/>
      <c r="D2" s="2"/>
      <c r="E2" s="2"/>
    </row>
    <row r="4" customFormat="false" ht="17.15" hidden="false" customHeight="false" outlineLevel="0" collapsed="false">
      <c r="A4" s="3" t="s">
        <v>2</v>
      </c>
      <c r="B4" s="4" t="s">
        <v>21</v>
      </c>
      <c r="C4" s="4" t="s">
        <v>4</v>
      </c>
      <c r="D4" s="4" t="s">
        <v>5</v>
      </c>
      <c r="E4" s="4" t="s">
        <v>6</v>
      </c>
    </row>
    <row r="5" customFormat="false" ht="33.75" hidden="false" customHeight="true" outlineLevel="0" collapsed="false">
      <c r="A5" s="5" t="n">
        <v>1</v>
      </c>
      <c r="B5" s="7" t="s">
        <v>22</v>
      </c>
      <c r="C5" s="6" t="s">
        <v>23</v>
      </c>
      <c r="D5" s="6" t="s">
        <v>24</v>
      </c>
      <c r="E5" s="6" t="s">
        <v>25</v>
      </c>
    </row>
    <row r="6" customFormat="false" ht="33.75" hidden="false" customHeight="true" outlineLevel="0" collapsed="false">
      <c r="A6" s="5" t="n">
        <v>2</v>
      </c>
      <c r="B6" s="7" t="s">
        <v>22</v>
      </c>
      <c r="C6" s="6" t="s">
        <v>26</v>
      </c>
      <c r="D6" s="6" t="s">
        <v>27</v>
      </c>
      <c r="E6" s="6" t="s">
        <v>28</v>
      </c>
    </row>
    <row r="7" customFormat="false" ht="33.75" hidden="false" customHeight="true" outlineLevel="0" collapsed="false">
      <c r="A7" s="5" t="n">
        <v>3</v>
      </c>
      <c r="B7" s="7" t="s">
        <v>22</v>
      </c>
      <c r="C7" s="6" t="s">
        <v>29</v>
      </c>
      <c r="D7" s="6" t="s">
        <v>30</v>
      </c>
      <c r="E7" s="6" t="s">
        <v>31</v>
      </c>
    </row>
    <row r="8" customFormat="false" ht="33.75" hidden="false" customHeight="true" outlineLevel="0" collapsed="false">
      <c r="A8" s="5" t="n">
        <v>4</v>
      </c>
      <c r="B8" s="8" t="s">
        <v>32</v>
      </c>
      <c r="C8" s="6" t="s">
        <v>33</v>
      </c>
      <c r="D8" s="6" t="s">
        <v>34</v>
      </c>
      <c r="E8" s="6" t="s">
        <v>35</v>
      </c>
    </row>
    <row r="9" customFormat="false" ht="33.75" hidden="false" customHeight="true" outlineLevel="0" collapsed="false">
      <c r="A9" s="5" t="n">
        <v>5</v>
      </c>
      <c r="B9" s="8" t="s">
        <v>32</v>
      </c>
      <c r="C9" s="6" t="s">
        <v>36</v>
      </c>
      <c r="D9" s="6" t="s">
        <v>37</v>
      </c>
      <c r="E9" s="6" t="s">
        <v>38</v>
      </c>
    </row>
    <row r="10" customFormat="false" ht="33.75" hidden="false" customHeight="true" outlineLevel="0" collapsed="false">
      <c r="A10" s="5" t="n">
        <v>6</v>
      </c>
      <c r="B10" s="8" t="s">
        <v>32</v>
      </c>
      <c r="C10" s="6" t="s">
        <v>39</v>
      </c>
      <c r="D10" s="6" t="s">
        <v>40</v>
      </c>
      <c r="E10" s="6" t="s">
        <v>41</v>
      </c>
    </row>
    <row r="11" customFormat="false" ht="33.75" hidden="false" customHeight="true" outlineLevel="0" collapsed="false">
      <c r="A11" s="5" t="n">
        <v>7</v>
      </c>
      <c r="B11" s="9" t="s">
        <v>42</v>
      </c>
      <c r="C11" s="6" t="s">
        <v>43</v>
      </c>
      <c r="D11" s="6" t="s">
        <v>44</v>
      </c>
      <c r="E11" s="6" t="s">
        <v>45</v>
      </c>
    </row>
    <row r="12" customFormat="false" ht="33.75" hidden="false" customHeight="true" outlineLevel="0" collapsed="false">
      <c r="A12" s="5" t="n">
        <v>8</v>
      </c>
      <c r="B12" s="9" t="s">
        <v>42</v>
      </c>
      <c r="C12" s="6" t="s">
        <v>46</v>
      </c>
      <c r="D12" s="6" t="s">
        <v>47</v>
      </c>
      <c r="E12" s="6" t="s">
        <v>48</v>
      </c>
    </row>
    <row r="13" customFormat="false" ht="33.75" hidden="false" customHeight="true" outlineLevel="0" collapsed="false">
      <c r="A13" s="5" t="n">
        <v>9</v>
      </c>
      <c r="B13" s="9" t="s">
        <v>42</v>
      </c>
      <c r="C13" s="6" t="s">
        <v>49</v>
      </c>
      <c r="D13" s="6" t="s">
        <v>50</v>
      </c>
      <c r="E13" s="6" t="s">
        <v>51</v>
      </c>
    </row>
    <row r="14" customFormat="false" ht="33.75" hidden="false" customHeight="true" outlineLevel="0" collapsed="false">
      <c r="A14" s="5" t="n">
        <v>10</v>
      </c>
      <c r="B14" s="10" t="s">
        <v>52</v>
      </c>
      <c r="C14" s="6" t="s">
        <v>53</v>
      </c>
      <c r="D14" s="6" t="s">
        <v>54</v>
      </c>
      <c r="E14" s="6" t="s">
        <v>55</v>
      </c>
    </row>
    <row r="15" customFormat="false" ht="33.75" hidden="false" customHeight="true" outlineLevel="0" collapsed="false">
      <c r="A15" s="5" t="n">
        <v>11</v>
      </c>
      <c r="B15" s="10" t="s">
        <v>52</v>
      </c>
      <c r="C15" s="6" t="s">
        <v>56</v>
      </c>
      <c r="D15" s="6" t="s">
        <v>57</v>
      </c>
      <c r="E15" s="6" t="s">
        <v>58</v>
      </c>
    </row>
    <row r="16" customFormat="false" ht="33.75" hidden="false" customHeight="true" outlineLevel="0" collapsed="false">
      <c r="A16" s="5" t="n">
        <v>12</v>
      </c>
      <c r="B16" s="10" t="s">
        <v>52</v>
      </c>
      <c r="C16" s="6" t="s">
        <v>59</v>
      </c>
      <c r="D16" s="6" t="s">
        <v>60</v>
      </c>
      <c r="E16" s="6" t="s">
        <v>61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</cols>
  <sheetData>
    <row r="1" customFormat="false" ht="21.6" hidden="false" customHeight="false" outlineLevel="0" collapsed="false">
      <c r="A1" s="1" t="s">
        <v>62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63</v>
      </c>
      <c r="B2" s="2"/>
      <c r="C2" s="2"/>
      <c r="D2" s="2"/>
      <c r="E2" s="2"/>
    </row>
    <row r="4" customFormat="false" ht="17.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33.75" hidden="false" customHeight="true" outlineLevel="0" collapsed="false">
      <c r="A5" s="5" t="n">
        <v>1</v>
      </c>
      <c r="B5" s="6" t="s">
        <v>64</v>
      </c>
      <c r="C5" s="6" t="s">
        <v>65</v>
      </c>
      <c r="D5" s="6" t="s">
        <v>66</v>
      </c>
      <c r="E5" s="6" t="s">
        <v>67</v>
      </c>
    </row>
    <row r="6" customFormat="false" ht="33.75" hidden="false" customHeight="true" outlineLevel="0" collapsed="false">
      <c r="A6" s="5" t="n">
        <v>2</v>
      </c>
      <c r="B6" s="6" t="s">
        <v>68</v>
      </c>
      <c r="C6" s="6" t="s">
        <v>69</v>
      </c>
      <c r="D6" s="6" t="s">
        <v>70</v>
      </c>
      <c r="E6" s="6" t="s">
        <v>71</v>
      </c>
    </row>
    <row r="7" customFormat="false" ht="33.75" hidden="false" customHeight="true" outlineLevel="0" collapsed="false">
      <c r="A7" s="5" t="n">
        <v>3</v>
      </c>
      <c r="B7" s="6" t="s">
        <v>72</v>
      </c>
      <c r="C7" s="6" t="s">
        <v>73</v>
      </c>
      <c r="D7" s="6" t="s">
        <v>74</v>
      </c>
      <c r="E7" s="6" t="s">
        <v>75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5"/>
    <col collapsed="false" customWidth="true" hidden="false" outlineLevel="0" max="4" min="4" style="0" width="8"/>
    <col collapsed="false" customWidth="true" hidden="false" outlineLevel="0" max="7" min="5" style="0" width="6"/>
    <col collapsed="false" customWidth="true" hidden="false" outlineLevel="0" max="9" min="8" style="0" width="7"/>
    <col collapsed="false" customWidth="true" hidden="false" outlineLevel="0" max="10" min="10" style="0" width="10"/>
    <col collapsed="false" customWidth="true" hidden="false" outlineLevel="0" max="12" min="11" style="0" width="7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6" min="15" style="0" width="7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7"/>
    <col collapsed="false" customWidth="true" hidden="false" outlineLevel="0" max="20" min="20" style="0" width="9"/>
    <col collapsed="false" customWidth="true" hidden="false" outlineLevel="0" max="23" min="21" style="0" width="8"/>
    <col collapsed="false" customWidth="true" hidden="false" outlineLevel="0" max="26" min="24" style="0" width="9"/>
  </cols>
  <sheetData>
    <row r="1" customFormat="false" ht="20.1" hidden="false" customHeight="false" outlineLevel="0" collapsed="false">
      <c r="A1" s="11" t="s">
        <v>76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3" customFormat="false" ht="64.15" hidden="false" customHeight="false" outlineLevel="0" collapsed="false">
      <c r="A3" s="4" t="s">
        <v>77</v>
      </c>
      <c r="B3" s="4" t="s">
        <v>78</v>
      </c>
      <c r="C3" s="4" t="s">
        <v>79</v>
      </c>
      <c r="D3" s="4" t="s">
        <v>80</v>
      </c>
      <c r="E3" s="4" t="s">
        <v>81</v>
      </c>
      <c r="F3" s="4" t="s">
        <v>82</v>
      </c>
      <c r="G3" s="4" t="s">
        <v>83</v>
      </c>
      <c r="H3" s="4" t="s">
        <v>84</v>
      </c>
      <c r="I3" s="4" t="s">
        <v>85</v>
      </c>
      <c r="J3" s="4" t="s">
        <v>86</v>
      </c>
      <c r="K3" s="4" t="s">
        <v>87</v>
      </c>
      <c r="L3" s="3" t="s">
        <v>88</v>
      </c>
      <c r="M3" s="4" t="s">
        <v>89</v>
      </c>
      <c r="N3" s="4" t="s">
        <v>90</v>
      </c>
      <c r="O3" s="4" t="s">
        <v>91</v>
      </c>
      <c r="P3" s="3" t="s">
        <v>92</v>
      </c>
      <c r="Q3" s="3" t="s">
        <v>93</v>
      </c>
      <c r="R3" s="4" t="s">
        <v>94</v>
      </c>
      <c r="S3" s="4" t="s">
        <v>95</v>
      </c>
      <c r="T3" s="4" t="s">
        <v>96</v>
      </c>
      <c r="U3" s="4" t="s">
        <v>97</v>
      </c>
      <c r="V3" s="4" t="s">
        <v>98</v>
      </c>
      <c r="W3" s="4" t="s">
        <v>99</v>
      </c>
      <c r="X3" s="4" t="s">
        <v>100</v>
      </c>
      <c r="Y3" s="4" t="s">
        <v>101</v>
      </c>
      <c r="Z3" s="4" t="s">
        <v>102</v>
      </c>
    </row>
    <row r="4" customFormat="false" ht="26.85" hidden="false" customHeight="false" outlineLevel="0" collapsed="false">
      <c r="A4" s="12" t="s">
        <v>103</v>
      </c>
      <c r="B4" s="13" t="s">
        <v>104</v>
      </c>
      <c r="C4" s="13" t="s">
        <v>104</v>
      </c>
      <c r="D4" s="13"/>
      <c r="E4" s="13" t="n">
        <v>3</v>
      </c>
      <c r="F4" s="13" t="n">
        <v>2</v>
      </c>
      <c r="G4" s="13" t="n">
        <v>3</v>
      </c>
      <c r="H4" s="13" t="n">
        <v>2</v>
      </c>
      <c r="I4" s="13" t="n">
        <f aca="false">(IF(B4="A",1,0))+(IF(C4="A",1,0))</f>
        <v>2</v>
      </c>
      <c r="J4" s="13" t="str">
        <f aca="false">IF(AND(I4=0,D4="A"),"知識積み上げタイプ","")</f>
        <v/>
      </c>
      <c r="K4" s="13" t="n">
        <f aca="false">COUNTIF(E4:H4,0)</f>
        <v>0</v>
      </c>
      <c r="L4" s="14" t="b">
        <f aca="false">AND(E4&gt;=2,F4&gt;=2,G4&gt;=2)</f>
        <v>1</v>
      </c>
      <c r="M4" s="13" t="str">
        <f aca="false">IF(AND(L4=TRUE(),H4=0),"スピードタイプ","")</f>
        <v/>
      </c>
      <c r="N4" s="13" t="str">
        <f aca="false">IF(K4&gt;=3,"仕切り直しタイプ","")</f>
        <v/>
      </c>
      <c r="O4" s="13" t="str">
        <f aca="false">IF(L4=TRUE(),"盤石タイプ","")</f>
        <v>盤石タイプ</v>
      </c>
      <c r="P4" s="13" t="n">
        <f aca="false">MIN(E4,F4,G4)</f>
        <v>2</v>
      </c>
      <c r="Q4" s="13" t="str">
        <f aca="false">IF(E4=P4,"演習量タイプ",IF(G4=P4,"自力タイプ","整理タイプ"))</f>
        <v>整理タイプ</v>
      </c>
      <c r="R4" s="13" t="str">
        <f aca="false">IF(J4&lt;&gt;"",J4,IF(N4&lt;&gt;"",N4,IF(M4&lt;&gt;"",M4,IF(O4&lt;&gt;"",O4,Q4))))</f>
        <v>盤石タイプ</v>
      </c>
      <c r="S4" s="13" t="str">
        <f aca="false">IF(AND(R4&lt;&gt;"スピードタイプ",R4&lt;&gt;"仕切り直しタイプ",H4=0),"あり","")</f>
        <v/>
      </c>
      <c r="T4" s="13" t="str">
        <f aca="false">IF(AND(I4=0,J4="",R4&lt;&gt;"仕切り直しタイプ",R4&lt;&gt;"演習量タイプ"),"あり","")</f>
        <v/>
      </c>
      <c r="U4" s="13" t="s">
        <v>104</v>
      </c>
      <c r="V4" s="13" t="s">
        <v>104</v>
      </c>
      <c r="W4" s="13" t="s">
        <v>104</v>
      </c>
      <c r="X4" s="13" t="str">
        <f aca="false">IF(AND(U4="B",R4&lt;&gt;"仕切り直しタイプ",R4&lt;&gt;"演習量タイプ"),"あり","")</f>
        <v/>
      </c>
      <c r="Y4" s="13" t="str">
        <f aca="false">IF(AND(V4="B",R4&lt;&gt;"仕切り直しタイプ"),"あり","")</f>
        <v/>
      </c>
      <c r="Z4" s="13" t="str">
        <f aca="false">IF(AND(W4="B",R4&lt;&gt;"仕切り直しタイプ"),"あり","")</f>
        <v/>
      </c>
    </row>
    <row r="5" customFormat="false" ht="26.85" hidden="false" customHeight="false" outlineLevel="0" collapsed="false">
      <c r="A5" s="12" t="s">
        <v>105</v>
      </c>
      <c r="B5" s="13" t="s">
        <v>104</v>
      </c>
      <c r="C5" s="13" t="s">
        <v>104</v>
      </c>
      <c r="D5" s="13"/>
      <c r="E5" s="13" t="n">
        <v>3</v>
      </c>
      <c r="F5" s="13" t="n">
        <v>3</v>
      </c>
      <c r="G5" s="13" t="n">
        <v>2</v>
      </c>
      <c r="H5" s="13" t="n">
        <v>0</v>
      </c>
      <c r="I5" s="13" t="n">
        <f aca="false">(IF(B5="A",1,0))+(IF(C5="A",1,0))</f>
        <v>2</v>
      </c>
      <c r="J5" s="13" t="str">
        <f aca="false">IF(AND(I5=0,D5="A"),"知識積み上げタイプ","")</f>
        <v/>
      </c>
      <c r="K5" s="13" t="n">
        <f aca="false">COUNTIF(E5:H5,0)</f>
        <v>1</v>
      </c>
      <c r="L5" s="14" t="b">
        <f aca="false">AND(E5&gt;=2,F5&gt;=2,G5&gt;=2)</f>
        <v>1</v>
      </c>
      <c r="M5" s="13" t="str">
        <f aca="false">IF(AND(L5=TRUE(),H5=0),"スピードタイプ","")</f>
        <v>スピードタイプ</v>
      </c>
      <c r="N5" s="13" t="str">
        <f aca="false">IF(K5&gt;=3,"仕切り直しタイプ","")</f>
        <v/>
      </c>
      <c r="O5" s="13" t="str">
        <f aca="false">IF(L5=TRUE(),"盤石タイプ","")</f>
        <v>盤石タイプ</v>
      </c>
      <c r="P5" s="13" t="n">
        <f aca="false">MIN(E5,F5,G5)</f>
        <v>2</v>
      </c>
      <c r="Q5" s="13" t="str">
        <f aca="false">IF(E5=P5,"演習量タイプ",IF(G5=P5,"自力タイプ","整理タイプ"))</f>
        <v>自力タイプ</v>
      </c>
      <c r="R5" s="13" t="str">
        <f aca="false">IF(J5&lt;&gt;"",J5,IF(N5&lt;&gt;"",N5,IF(M5&lt;&gt;"",M5,IF(O5&lt;&gt;"",O5,Q5))))</f>
        <v>スピードタイプ</v>
      </c>
      <c r="S5" s="13" t="str">
        <f aca="false">IF(AND(R5&lt;&gt;"スピードタイプ",R5&lt;&gt;"仕切り直しタイプ",H5=0),"あり","")</f>
        <v/>
      </c>
      <c r="T5" s="13" t="str">
        <f aca="false">IF(AND(I5=0,J5="",R5&lt;&gt;"仕切り直しタイプ",R5&lt;&gt;"演習量タイプ"),"あり","")</f>
        <v/>
      </c>
      <c r="U5" s="13" t="s">
        <v>104</v>
      </c>
      <c r="V5" s="13" t="s">
        <v>104</v>
      </c>
      <c r="W5" s="13" t="s">
        <v>104</v>
      </c>
      <c r="X5" s="13" t="str">
        <f aca="false">IF(AND(U5="B",R5&lt;&gt;"仕切り直しタイプ",R5&lt;&gt;"演習量タイプ"),"あり","")</f>
        <v/>
      </c>
      <c r="Y5" s="13" t="str">
        <f aca="false">IF(AND(V5="B",R5&lt;&gt;"仕切り直しタイプ"),"あり","")</f>
        <v/>
      </c>
      <c r="Z5" s="13" t="str">
        <f aca="false">IF(AND(W5="B",R5&lt;&gt;"仕切り直しタイプ"),"あり","")</f>
        <v/>
      </c>
    </row>
    <row r="6" customFormat="false" ht="26.85" hidden="false" customHeight="false" outlineLevel="0" collapsed="false">
      <c r="A6" s="12" t="s">
        <v>106</v>
      </c>
      <c r="B6" s="13" t="s">
        <v>104</v>
      </c>
      <c r="C6" s="13" t="s">
        <v>107</v>
      </c>
      <c r="D6" s="13"/>
      <c r="E6" s="13" t="n">
        <v>0</v>
      </c>
      <c r="F6" s="13" t="n">
        <v>2</v>
      </c>
      <c r="G6" s="13" t="n">
        <v>0</v>
      </c>
      <c r="H6" s="13" t="n">
        <v>2</v>
      </c>
      <c r="I6" s="13" t="n">
        <f aca="false">(IF(B6="A",1,0))+(IF(C6="A",1,0))</f>
        <v>1</v>
      </c>
      <c r="J6" s="13" t="str">
        <f aca="false">IF(AND(I6=0,D6="A"),"知識積み上げタイプ","")</f>
        <v/>
      </c>
      <c r="K6" s="13" t="n">
        <f aca="false">COUNTIF(E6:H6,0)</f>
        <v>2</v>
      </c>
      <c r="L6" s="14" t="b">
        <f aca="false">AND(E6&gt;=2,F6&gt;=2,G6&gt;=2)</f>
        <v>0</v>
      </c>
      <c r="M6" s="13" t="str">
        <f aca="false">IF(AND(L6=TRUE(),H6=0),"スピードタイプ","")</f>
        <v/>
      </c>
      <c r="N6" s="13" t="str">
        <f aca="false">IF(K6&gt;=3,"仕切り直しタイプ","")</f>
        <v/>
      </c>
      <c r="O6" s="13" t="str">
        <f aca="false">IF(L6=TRUE(),"盤石タイプ","")</f>
        <v/>
      </c>
      <c r="P6" s="13" t="n">
        <f aca="false">MIN(E6,F6,G6)</f>
        <v>0</v>
      </c>
      <c r="Q6" s="13" t="str">
        <f aca="false">IF(E6=P6,"演習量タイプ",IF(G6=P6,"自力タイプ","整理タイプ"))</f>
        <v>演習量タイプ</v>
      </c>
      <c r="R6" s="13" t="str">
        <f aca="false">IF(J6&lt;&gt;"",J6,IF(N6&lt;&gt;"",N6,IF(M6&lt;&gt;"",M6,IF(O6&lt;&gt;"",O6,Q6))))</f>
        <v>演習量タイプ</v>
      </c>
      <c r="S6" s="13" t="str">
        <f aca="false">IF(AND(R6&lt;&gt;"スピードタイプ",R6&lt;&gt;"仕切り直しタイプ",H6=0),"あり","")</f>
        <v/>
      </c>
      <c r="T6" s="13" t="str">
        <f aca="false">IF(AND(I6=0,J6="",R6&lt;&gt;"仕切り直しタイプ",R6&lt;&gt;"演習量タイプ"),"あり","")</f>
        <v/>
      </c>
      <c r="U6" s="13" t="s">
        <v>107</v>
      </c>
      <c r="V6" s="13" t="s">
        <v>104</v>
      </c>
      <c r="W6" s="13" t="s">
        <v>104</v>
      </c>
      <c r="X6" s="13" t="str">
        <f aca="false">IF(AND(U6="B",R6&lt;&gt;"仕切り直しタイプ",R6&lt;&gt;"演習量タイプ"),"あり","")</f>
        <v/>
      </c>
      <c r="Y6" s="13" t="str">
        <f aca="false">IF(AND(V6="B",R6&lt;&gt;"仕切り直しタイプ"),"あり","")</f>
        <v/>
      </c>
      <c r="Z6" s="13" t="str">
        <f aca="false">IF(AND(W6="B",R6&lt;&gt;"仕切り直しタイプ"),"あり","")</f>
        <v/>
      </c>
    </row>
    <row r="7" customFormat="false" ht="26.85" hidden="false" customHeight="false" outlineLevel="0" collapsed="false">
      <c r="A7" s="12" t="s">
        <v>108</v>
      </c>
      <c r="B7" s="13" t="s">
        <v>104</v>
      </c>
      <c r="C7" s="13" t="s">
        <v>107</v>
      </c>
      <c r="D7" s="13"/>
      <c r="E7" s="13" t="n">
        <v>0</v>
      </c>
      <c r="F7" s="13" t="n">
        <v>0</v>
      </c>
      <c r="G7" s="13" t="n">
        <v>1</v>
      </c>
      <c r="H7" s="13" t="n">
        <v>0</v>
      </c>
      <c r="I7" s="13" t="n">
        <f aca="false">(IF(B7="A",1,0))+(IF(C7="A",1,0))</f>
        <v>1</v>
      </c>
      <c r="J7" s="13" t="str">
        <f aca="false">IF(AND(I7=0,D7="A"),"知識積み上げタイプ","")</f>
        <v/>
      </c>
      <c r="K7" s="13" t="n">
        <f aca="false">COUNTIF(E7:H7,0)</f>
        <v>3</v>
      </c>
      <c r="L7" s="14" t="b">
        <f aca="false">AND(E7&gt;=2,F7&gt;=2,G7&gt;=2)</f>
        <v>0</v>
      </c>
      <c r="M7" s="13" t="str">
        <f aca="false">IF(AND(L7=TRUE(),H7=0),"スピードタイプ","")</f>
        <v/>
      </c>
      <c r="N7" s="13" t="str">
        <f aca="false">IF(K7&gt;=3,"仕切り直しタイプ","")</f>
        <v>仕切り直しタイプ</v>
      </c>
      <c r="O7" s="13" t="str">
        <f aca="false">IF(L7=TRUE(),"盤石タイプ","")</f>
        <v/>
      </c>
      <c r="P7" s="13" t="n">
        <f aca="false">MIN(E7,F7,G7)</f>
        <v>0</v>
      </c>
      <c r="Q7" s="13" t="str">
        <f aca="false">IF(E7=P7,"演習量タイプ",IF(G7=P7,"自力タイプ","整理タイプ"))</f>
        <v>演習量タイプ</v>
      </c>
      <c r="R7" s="13" t="str">
        <f aca="false">IF(J7&lt;&gt;"",J7,IF(N7&lt;&gt;"",N7,IF(M7&lt;&gt;"",M7,IF(O7&lt;&gt;"",O7,Q7))))</f>
        <v>仕切り直しタイプ</v>
      </c>
      <c r="S7" s="13" t="str">
        <f aca="false">IF(AND(R7&lt;&gt;"スピードタイプ",R7&lt;&gt;"仕切り直しタイプ",H7=0),"あり","")</f>
        <v/>
      </c>
      <c r="T7" s="13" t="str">
        <f aca="false">IF(AND(I7=0,J7="",R7&lt;&gt;"仕切り直しタイプ",R7&lt;&gt;"演習量タイプ"),"あり","")</f>
        <v/>
      </c>
      <c r="U7" s="13" t="s">
        <v>107</v>
      </c>
      <c r="V7" s="13" t="s">
        <v>107</v>
      </c>
      <c r="W7" s="13" t="s">
        <v>107</v>
      </c>
      <c r="X7" s="13" t="str">
        <f aca="false">IF(AND(U7="B",R7&lt;&gt;"仕切り直しタイプ",R7&lt;&gt;"演習量タイプ"),"あり","")</f>
        <v/>
      </c>
      <c r="Y7" s="13" t="str">
        <f aca="false">IF(AND(V7="B",R7&lt;&gt;"仕切り直しタイプ"),"あり","")</f>
        <v/>
      </c>
      <c r="Z7" s="13" t="str">
        <f aca="false">IF(AND(W7="B",R7&lt;&gt;"仕切り直しタイプ"),"あり","")</f>
        <v/>
      </c>
    </row>
    <row r="8" customFormat="false" ht="26.85" hidden="false" customHeight="false" outlineLevel="0" collapsed="false">
      <c r="A8" s="12" t="s">
        <v>109</v>
      </c>
      <c r="B8" s="13" t="s">
        <v>107</v>
      </c>
      <c r="C8" s="13" t="s">
        <v>107</v>
      </c>
      <c r="D8" s="13" t="s">
        <v>104</v>
      </c>
      <c r="E8" s="13" t="n">
        <v>2</v>
      </c>
      <c r="F8" s="13" t="n">
        <v>2</v>
      </c>
      <c r="G8" s="13" t="n">
        <v>2</v>
      </c>
      <c r="H8" s="13" t="n">
        <v>2</v>
      </c>
      <c r="I8" s="13" t="n">
        <f aca="false">(IF(B8="A",1,0))+(IF(C8="A",1,0))</f>
        <v>0</v>
      </c>
      <c r="J8" s="13" t="str">
        <f aca="false">IF(AND(I8=0,D8="A"),"知識積み上げタイプ","")</f>
        <v>知識積み上げタイプ</v>
      </c>
      <c r="K8" s="13" t="n">
        <f aca="false">COUNTIF(E8:H8,0)</f>
        <v>0</v>
      </c>
      <c r="L8" s="14" t="b">
        <f aca="false">AND(E8&gt;=2,F8&gt;=2,G8&gt;=2)</f>
        <v>1</v>
      </c>
      <c r="M8" s="13" t="str">
        <f aca="false">IF(AND(L8=TRUE(),H8=0),"スピードタイプ","")</f>
        <v/>
      </c>
      <c r="N8" s="13" t="str">
        <f aca="false">IF(K8&gt;=3,"仕切り直しタイプ","")</f>
        <v/>
      </c>
      <c r="O8" s="13" t="str">
        <f aca="false">IF(L8=TRUE(),"盤石タイプ","")</f>
        <v>盤石タイプ</v>
      </c>
      <c r="P8" s="13" t="n">
        <f aca="false">MIN(E8,F8,G8)</f>
        <v>2</v>
      </c>
      <c r="Q8" s="13" t="str">
        <f aca="false">IF(E8=P8,"演習量タイプ",IF(G8=P8,"自力タイプ","整理タイプ"))</f>
        <v>演習量タイプ</v>
      </c>
      <c r="R8" s="13" t="str">
        <f aca="false">IF(J8&lt;&gt;"",J8,IF(N8&lt;&gt;"",N8,IF(M8&lt;&gt;"",M8,IF(O8&lt;&gt;"",O8,Q8))))</f>
        <v>知識積み上げタイプ</v>
      </c>
      <c r="S8" s="13" t="str">
        <f aca="false">IF(AND(R8&lt;&gt;"スピードタイプ",R8&lt;&gt;"仕切り直しタイプ",H8=0),"あり","")</f>
        <v/>
      </c>
      <c r="T8" s="13" t="str">
        <f aca="false">IF(AND(I8=0,J8="",R8&lt;&gt;"仕切り直しタイプ",R8&lt;&gt;"演習量タイプ"),"あり","")</f>
        <v/>
      </c>
      <c r="U8" s="13"/>
      <c r="V8" s="13"/>
      <c r="W8" s="13"/>
      <c r="X8" s="13" t="str">
        <f aca="false">IF(AND(U8="B",R8&lt;&gt;"仕切り直しタイプ",R8&lt;&gt;"演習量タイプ"),"あり","")</f>
        <v/>
      </c>
      <c r="Y8" s="13" t="str">
        <f aca="false">IF(AND(V8="B",R8&lt;&gt;"仕切り直しタイプ"),"あり","")</f>
        <v/>
      </c>
      <c r="Z8" s="13" t="str">
        <f aca="false">IF(AND(W8="B",R8&lt;&gt;"仕切り直しタイプ"),"あり","")</f>
        <v/>
      </c>
    </row>
    <row r="9" customFormat="false" ht="39.55" hidden="false" customHeight="false" outlineLevel="0" collapsed="false">
      <c r="A9" s="12" t="s">
        <v>110</v>
      </c>
      <c r="B9" s="13" t="s">
        <v>107</v>
      </c>
      <c r="C9" s="13" t="s">
        <v>107</v>
      </c>
      <c r="D9" s="13" t="s">
        <v>107</v>
      </c>
      <c r="E9" s="13" t="n">
        <v>0</v>
      </c>
      <c r="F9" s="13" t="n">
        <v>2</v>
      </c>
      <c r="G9" s="13" t="n">
        <v>2</v>
      </c>
      <c r="H9" s="13" t="n">
        <v>2</v>
      </c>
      <c r="I9" s="13" t="n">
        <f aca="false">(IF(B9="A",1,0))+(IF(C9="A",1,0))</f>
        <v>0</v>
      </c>
      <c r="J9" s="13" t="str">
        <f aca="false">IF(AND(I9=0,D9="A"),"知識積み上げタイプ","")</f>
        <v/>
      </c>
      <c r="K9" s="13" t="n">
        <f aca="false">COUNTIF(E9:H9,0)</f>
        <v>1</v>
      </c>
      <c r="L9" s="14" t="b">
        <f aca="false">AND(E9&gt;=2,F9&gt;=2,G9&gt;=2)</f>
        <v>0</v>
      </c>
      <c r="M9" s="13" t="str">
        <f aca="false">IF(AND(L9=TRUE(),H9=0),"スピードタイプ","")</f>
        <v/>
      </c>
      <c r="N9" s="13" t="str">
        <f aca="false">IF(K9&gt;=3,"仕切り直しタイプ","")</f>
        <v/>
      </c>
      <c r="O9" s="13" t="str">
        <f aca="false">IF(L9=TRUE(),"盤石タイプ","")</f>
        <v/>
      </c>
      <c r="P9" s="13" t="n">
        <f aca="false">MIN(E9,F9,G9)</f>
        <v>0</v>
      </c>
      <c r="Q9" s="13" t="str">
        <f aca="false">IF(E9=P9,"演習量タイプ",IF(G9=P9,"自力タイプ","整理タイプ"))</f>
        <v>演習量タイプ</v>
      </c>
      <c r="R9" s="13" t="str">
        <f aca="false">IF(J9&lt;&gt;"",J9,IF(N9&lt;&gt;"",N9,IF(M9&lt;&gt;"",M9,IF(O9&lt;&gt;"",O9,Q9))))</f>
        <v>演習量タイプ</v>
      </c>
      <c r="S9" s="13" t="str">
        <f aca="false">IF(AND(R9&lt;&gt;"スピードタイプ",R9&lt;&gt;"仕切り直しタイプ",H9=0),"あり","")</f>
        <v/>
      </c>
      <c r="T9" s="13" t="str">
        <f aca="false">IF(AND(I9=0,J9="",R9&lt;&gt;"仕切り直しタイプ",R9&lt;&gt;"演習量タイプ"),"あり","")</f>
        <v/>
      </c>
      <c r="U9" s="13" t="s">
        <v>107</v>
      </c>
      <c r="V9" s="13" t="s">
        <v>107</v>
      </c>
      <c r="W9" s="13" t="s">
        <v>104</v>
      </c>
      <c r="X9" s="13" t="str">
        <f aca="false">IF(AND(U9="B",R9&lt;&gt;"仕切り直しタイプ",R9&lt;&gt;"演習量タイプ"),"あり","")</f>
        <v/>
      </c>
      <c r="Y9" s="13" t="str">
        <f aca="false">IF(AND(V9="B",R9&lt;&gt;"仕切り直しタイプ"),"あり","")</f>
        <v>あり</v>
      </c>
      <c r="Z9" s="13" t="str">
        <f aca="false">IF(AND(W9="B",R9&lt;&gt;"仕切り直しタイプ"),"あり","")</f>
        <v/>
      </c>
    </row>
    <row r="10" customFormat="false" ht="39.55" hidden="false" customHeight="false" outlineLevel="0" collapsed="false">
      <c r="A10" s="12" t="s">
        <v>111</v>
      </c>
      <c r="B10" s="13" t="s">
        <v>107</v>
      </c>
      <c r="C10" s="13" t="s">
        <v>107</v>
      </c>
      <c r="D10" s="13" t="s">
        <v>107</v>
      </c>
      <c r="E10" s="13" t="n">
        <v>2</v>
      </c>
      <c r="F10" s="13" t="n">
        <v>0</v>
      </c>
      <c r="G10" s="13" t="n">
        <v>2</v>
      </c>
      <c r="H10" s="13" t="n">
        <v>2</v>
      </c>
      <c r="I10" s="13" t="n">
        <f aca="false">(IF(B10="A",1,0))+(IF(C10="A",1,0))</f>
        <v>0</v>
      </c>
      <c r="J10" s="13" t="str">
        <f aca="false">IF(AND(I10=0,D10="A"),"知識積み上げタイプ","")</f>
        <v/>
      </c>
      <c r="K10" s="13" t="n">
        <f aca="false">COUNTIF(E10:H10,0)</f>
        <v>1</v>
      </c>
      <c r="L10" s="14" t="b">
        <f aca="false">AND(E10&gt;=2,F10&gt;=2,G10&gt;=2)</f>
        <v>0</v>
      </c>
      <c r="M10" s="13" t="str">
        <f aca="false">IF(AND(L10=TRUE(),H10=0),"スピードタイプ","")</f>
        <v/>
      </c>
      <c r="N10" s="13" t="str">
        <f aca="false">IF(K10&gt;=3,"仕切り直しタイプ","")</f>
        <v/>
      </c>
      <c r="O10" s="13" t="str">
        <f aca="false">IF(L10=TRUE(),"盤石タイプ","")</f>
        <v/>
      </c>
      <c r="P10" s="13" t="n">
        <f aca="false">MIN(E10,F10,G10)</f>
        <v>0</v>
      </c>
      <c r="Q10" s="13" t="str">
        <f aca="false">IF(E10=P10,"演習量タイプ",IF(G10=P10,"自力タイプ","整理タイプ"))</f>
        <v>整理タイプ</v>
      </c>
      <c r="R10" s="13" t="str">
        <f aca="false">IF(J10&lt;&gt;"",J10,IF(N10&lt;&gt;"",N10,IF(M10&lt;&gt;"",M10,IF(O10&lt;&gt;"",O10,Q10))))</f>
        <v>整理タイプ</v>
      </c>
      <c r="S10" s="13" t="str">
        <f aca="false">IF(AND(R10&lt;&gt;"スピードタイプ",R10&lt;&gt;"仕切り直しタイプ",H10=0),"あり","")</f>
        <v/>
      </c>
      <c r="T10" s="13" t="str">
        <f aca="false">IF(AND(I10=0,J10="",R10&lt;&gt;"仕切り直しタイプ",R10&lt;&gt;"演習量タイプ"),"あり","")</f>
        <v>あり</v>
      </c>
      <c r="U10" s="13" t="s">
        <v>104</v>
      </c>
      <c r="V10" s="13" t="s">
        <v>104</v>
      </c>
      <c r="W10" s="13" t="s">
        <v>107</v>
      </c>
      <c r="X10" s="13" t="str">
        <f aca="false">IF(AND(U10="B",R10&lt;&gt;"仕切り直しタイプ",R10&lt;&gt;"演習量タイプ"),"あり","")</f>
        <v/>
      </c>
      <c r="Y10" s="13" t="str">
        <f aca="false">IF(AND(V10="B",R10&lt;&gt;"仕切り直しタイプ"),"あり","")</f>
        <v/>
      </c>
      <c r="Z10" s="13" t="str">
        <f aca="false">IF(AND(W10="B",R10&lt;&gt;"仕切り直しタイプ"),"あり","")</f>
        <v>あり</v>
      </c>
    </row>
    <row r="11" customFormat="false" ht="26.85" hidden="false" customHeight="false" outlineLevel="0" collapsed="false">
      <c r="A11" s="12" t="s">
        <v>112</v>
      </c>
      <c r="B11" s="13" t="s">
        <v>104</v>
      </c>
      <c r="C11" s="13" t="s">
        <v>104</v>
      </c>
      <c r="D11" s="13"/>
      <c r="E11" s="13" t="n">
        <v>0</v>
      </c>
      <c r="F11" s="13" t="n">
        <v>0</v>
      </c>
      <c r="G11" s="13" t="n">
        <v>1</v>
      </c>
      <c r="H11" s="13" t="n">
        <v>0</v>
      </c>
      <c r="I11" s="13" t="n">
        <f aca="false">(IF(B11="A",1,0))+(IF(C11="A",1,0))</f>
        <v>2</v>
      </c>
      <c r="J11" s="13" t="str">
        <f aca="false">IF(AND(I11=0,D11="A"),"知識積み上げタイプ","")</f>
        <v/>
      </c>
      <c r="K11" s="13" t="n">
        <f aca="false">COUNTIF(E11:H11,0)</f>
        <v>3</v>
      </c>
      <c r="L11" s="14" t="b">
        <f aca="false">AND(E11&gt;=2,F11&gt;=2,G11&gt;=2)</f>
        <v>0</v>
      </c>
      <c r="M11" s="13" t="str">
        <f aca="false">IF(AND(L11=TRUE(),H11=0),"スピードタイプ","")</f>
        <v/>
      </c>
      <c r="N11" s="13" t="str">
        <f aca="false">IF(K11&gt;=3,"仕切り直しタイプ","")</f>
        <v>仕切り直しタイプ</v>
      </c>
      <c r="O11" s="13" t="str">
        <f aca="false">IF(L11=TRUE(),"盤石タイプ","")</f>
        <v/>
      </c>
      <c r="P11" s="13" t="n">
        <f aca="false">MIN(E11,F11,G11)</f>
        <v>0</v>
      </c>
      <c r="Q11" s="13" t="str">
        <f aca="false">IF(E11=P11,"演習量タイプ",IF(G11=P11,"自力タイプ","整理タイプ"))</f>
        <v>演習量タイプ</v>
      </c>
      <c r="R11" s="13" t="str">
        <f aca="false">IF(J11&lt;&gt;"",J11,IF(N11&lt;&gt;"",N11,IF(M11&lt;&gt;"",M11,IF(O11&lt;&gt;"",O11,Q11))))</f>
        <v>仕切り直しタイプ</v>
      </c>
      <c r="S11" s="13" t="str">
        <f aca="false">IF(AND(R11&lt;&gt;"スピードタイプ",R11&lt;&gt;"仕切り直しタイプ",H11=0),"あり","")</f>
        <v/>
      </c>
      <c r="T11" s="13" t="str">
        <f aca="false">IF(AND(I11=0,J11="",R11&lt;&gt;"仕切り直しタイプ",R11&lt;&gt;"演習量タイプ"),"あり","")</f>
        <v/>
      </c>
      <c r="U11" s="13" t="s">
        <v>107</v>
      </c>
      <c r="V11" s="13" t="s">
        <v>107</v>
      </c>
      <c r="W11" s="13" t="s">
        <v>107</v>
      </c>
      <c r="X11" s="13" t="str">
        <f aca="false">IF(AND(U11="B",R11&lt;&gt;"仕切り直しタイプ",R11&lt;&gt;"演習量タイプ"),"あり","")</f>
        <v/>
      </c>
      <c r="Y11" s="13" t="str">
        <f aca="false">IF(AND(V11="B",R11&lt;&gt;"仕切り直しタイプ"),"あり","")</f>
        <v/>
      </c>
      <c r="Z11" s="13" t="str">
        <f aca="false">IF(AND(W11="B",R11&lt;&gt;"仕切り直しタイプ"),"あり","")</f>
        <v/>
      </c>
    </row>
    <row r="12" customFormat="false" ht="39.55" hidden="false" customHeight="false" outlineLevel="0" collapsed="false">
      <c r="A12" s="12" t="s">
        <v>113</v>
      </c>
      <c r="B12" s="13" t="s">
        <v>104</v>
      </c>
      <c r="C12" s="13" t="s">
        <v>104</v>
      </c>
      <c r="D12" s="13"/>
      <c r="E12" s="13" t="n">
        <v>2</v>
      </c>
      <c r="F12" s="13" t="n">
        <v>2</v>
      </c>
      <c r="G12" s="13" t="n">
        <v>0</v>
      </c>
      <c r="H12" s="13" t="n">
        <v>0</v>
      </c>
      <c r="I12" s="13" t="n">
        <f aca="false">(IF(B12="A",1,0))+(IF(C12="A",1,0))</f>
        <v>2</v>
      </c>
      <c r="J12" s="13" t="str">
        <f aca="false">IF(AND(I12=0,D12="A"),"知識積み上げタイプ","")</f>
        <v/>
      </c>
      <c r="K12" s="13" t="n">
        <f aca="false">COUNTIF(E12:H12,0)</f>
        <v>2</v>
      </c>
      <c r="L12" s="14" t="b">
        <f aca="false">AND(E12&gt;=2,F12&gt;=2,G12&gt;=2)</f>
        <v>0</v>
      </c>
      <c r="M12" s="13" t="str">
        <f aca="false">IF(AND(L12=TRUE(),H12=0),"スピードタイプ","")</f>
        <v/>
      </c>
      <c r="N12" s="13" t="str">
        <f aca="false">IF(K12&gt;=3,"仕切り直しタイプ","")</f>
        <v/>
      </c>
      <c r="O12" s="13" t="str">
        <f aca="false">IF(L12=TRUE(),"盤石タイプ","")</f>
        <v/>
      </c>
      <c r="P12" s="13" t="n">
        <f aca="false">MIN(E12,F12,G12)</f>
        <v>0</v>
      </c>
      <c r="Q12" s="13" t="str">
        <f aca="false">IF(E12=P12,"演習量タイプ",IF(G12=P12,"自力タイプ","整理タイプ"))</f>
        <v>自力タイプ</v>
      </c>
      <c r="R12" s="13" t="str">
        <f aca="false">IF(J12&lt;&gt;"",J12,IF(N12&lt;&gt;"",N12,IF(M12&lt;&gt;"",M12,IF(O12&lt;&gt;"",O12,Q12))))</f>
        <v>自力タイプ</v>
      </c>
      <c r="S12" s="13" t="str">
        <f aca="false">IF(AND(R12&lt;&gt;"スピードタイプ",R12&lt;&gt;"仕切り直しタイプ",H12=0),"あり","")</f>
        <v>あり</v>
      </c>
      <c r="T12" s="13" t="str">
        <f aca="false">IF(AND(I12=0,J12="",R12&lt;&gt;"仕切り直しタイプ",R12&lt;&gt;"演習量タイプ"),"あり","")</f>
        <v/>
      </c>
      <c r="U12" s="13" t="s">
        <v>107</v>
      </c>
      <c r="V12" s="13" t="s">
        <v>107</v>
      </c>
      <c r="W12" s="13" t="s">
        <v>107</v>
      </c>
      <c r="X12" s="13" t="str">
        <f aca="false">IF(AND(U12="B",R12&lt;&gt;"仕切り直しタイプ",R12&lt;&gt;"演習量タイプ"),"あり","")</f>
        <v>あり</v>
      </c>
      <c r="Y12" s="13" t="str">
        <f aca="false">IF(AND(V12="B",R12&lt;&gt;"仕切り直しタイプ"),"あり","")</f>
        <v>あり</v>
      </c>
      <c r="Z12" s="13" t="str">
        <f aca="false">IF(AND(W12="B",R12&lt;&gt;"仕切り直しタイプ"),"あり","")</f>
        <v>あり</v>
      </c>
    </row>
    <row r="15" customFormat="false" ht="15" hidden="false" customHeight="false" outlineLevel="0" collapsed="false">
      <c r="A15" s="15" t="s">
        <v>114</v>
      </c>
    </row>
    <row r="16" customFormat="false" ht="15" hidden="false" customHeight="false" outlineLevel="0" collapsed="false">
      <c r="A16" s="15" t="s">
        <v>115</v>
      </c>
    </row>
    <row r="17" customFormat="false" ht="15" hidden="false" customHeight="false" outlineLevel="0" collapsed="false">
      <c r="A17" s="15" t="s">
        <v>116</v>
      </c>
    </row>
    <row r="18" customFormat="false" ht="15" hidden="false" customHeight="false" outlineLevel="0" collapsed="false">
      <c r="A18" s="15" t="s">
        <v>117</v>
      </c>
    </row>
    <row r="19" customFormat="false" ht="15" hidden="false" customHeight="false" outlineLevel="0" collapsed="false">
      <c r="A19" s="15" t="s">
        <v>118</v>
      </c>
    </row>
    <row r="20" customFormat="false" ht="15" hidden="false" customHeight="false" outlineLevel="0" collapsed="false">
      <c r="A20" s="15" t="s">
        <v>119</v>
      </c>
    </row>
    <row r="21" customFormat="false" ht="15" hidden="false" customHeight="false" outlineLevel="0" collapsed="false">
      <c r="A21" s="15" t="s">
        <v>120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2026-07-14T16:23:55Z</dcterms:created>
  <dc:creator>openpyxl</dc:creator>
  <dc:description/>
  <dc:language>en-US</dc:language>
  <cp:lastModifiedBy/>
  <dcterms:modified xsi:type="dcterms:W3CDTF">2026-07-14T16:23:55Z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